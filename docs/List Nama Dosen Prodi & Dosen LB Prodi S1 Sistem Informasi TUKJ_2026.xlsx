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Amalia\Downloads\List Nama Dosen Tetap dan LB Prodi S1 SI TUKJ\"/>
    </mc:Choice>
  </mc:AlternateContent>
  <xr:revisionPtr revIDLastSave="0" documentId="13_ncr:1_{F4519D74-BC8B-4352-8EED-3E7660445C1E}" xr6:coauthVersionLast="47" xr6:coauthVersionMax="47" xr10:uidLastSave="{00000000-0000-0000-0000-000000000000}"/>
  <bookViews>
    <workbookView xWindow="-120" yWindow="-120" windowWidth="20730" windowHeight="11040" firstSheet="2" activeTab="5" xr2:uid="{F80F38FA-ABD5-429E-9BB4-329C4789F352}"/>
  </bookViews>
  <sheets>
    <sheet name="Dosen Prodi S1 SI TUKJ" sheetId="1" r:id="rId1"/>
    <sheet name="Persentase Dosen" sheetId="7" r:id="rId2"/>
    <sheet name="Dosen Pegawai Tetap" sheetId="2" r:id="rId3"/>
    <sheet name="Dosen LB_Ganjil 2425" sheetId="3" r:id="rId4"/>
    <sheet name="Dosen LB_Genap 2425" sheetId="5" r:id="rId5"/>
    <sheet name="Dosen LB_Ganjil 2526" sheetId="4" r:id="rId6"/>
    <sheet name="Dosen LB_Genap 252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7" l="1"/>
  <c r="I8" i="7" s="1"/>
  <c r="H6" i="7"/>
  <c r="I6" i="7" s="1"/>
  <c r="H7" i="7"/>
  <c r="I7" i="7" s="1"/>
  <c r="I11" i="7"/>
  <c r="I10" i="7"/>
</calcChain>
</file>

<file path=xl/sharedStrings.xml><?xml version="1.0" encoding="utf-8"?>
<sst xmlns="http://schemas.openxmlformats.org/spreadsheetml/2006/main" count="381" uniqueCount="171">
  <si>
    <t>No</t>
  </si>
  <si>
    <t xml:space="preserve">Nama Lengkap </t>
  </si>
  <si>
    <t>Kode Dosen</t>
  </si>
  <si>
    <t>JFA</t>
  </si>
  <si>
    <t>No. HP</t>
  </si>
  <si>
    <t xml:space="preserve">Qilbaaini Effendi Muftikhali, S.Kom., M.Kom.  </t>
  </si>
  <si>
    <t>QLB</t>
  </si>
  <si>
    <t>Asisten Ahli</t>
  </si>
  <si>
    <t>Sasmi Hidayatul Yulianing Tyas, S.Kom., M.Kom.</t>
  </si>
  <si>
    <t>SHC</t>
  </si>
  <si>
    <t>Dea Wemona Rahma, S.Kom., M.T.I.</t>
  </si>
  <si>
    <t>WHO</t>
  </si>
  <si>
    <t>Dwina Satrinia, S.Kom., M.T.</t>
  </si>
  <si>
    <t>WRA</t>
  </si>
  <si>
    <t>Dewi Marini Umi Atmaja, S.Kom., M.Kom.</t>
  </si>
  <si>
    <t>DWN</t>
  </si>
  <si>
    <t>Deki Satria, S.T., M.Kom.</t>
  </si>
  <si>
    <t>DET</t>
  </si>
  <si>
    <t>Lektor</t>
  </si>
  <si>
    <t>Ilham Roni Yansyah, S.Kom., M.Kom.</t>
  </si>
  <si>
    <t>ILR</t>
  </si>
  <si>
    <t>Muhammad Solehuddin, S.SI., M.Kom.</t>
  </si>
  <si>
    <t>MSE</t>
  </si>
  <si>
    <t>Arif Rahman Hakim, S.Kom., M.Kom.</t>
  </si>
  <si>
    <t>ARK</t>
  </si>
  <si>
    <t>Muhammad Aziz Kurniawan, S.SI., M.T.</t>
  </si>
  <si>
    <t>ZIZ</t>
  </si>
  <si>
    <t>NJFA 2</t>
  </si>
  <si>
    <t>Yumna Zahran Ramadhan, S.Kom., M.Kom.</t>
  </si>
  <si>
    <t>YZN</t>
  </si>
  <si>
    <t>NJFA</t>
  </si>
  <si>
    <t>Fadhil Rozi Hendrawan, S.Kom., M.Kom.</t>
  </si>
  <si>
    <t>FRE</t>
  </si>
  <si>
    <t>Ade Rahmat Iskandar, S.Kom., M.T.</t>
  </si>
  <si>
    <t>AIK</t>
  </si>
  <si>
    <t>Adelia Chitra Sazkia, S.Kom., M.Comp.Sc.</t>
  </si>
  <si>
    <t>CHS</t>
  </si>
  <si>
    <t>+60 169506180</t>
  </si>
  <si>
    <t>Ahmad Ridwan Fauzi, S.Kom., M.Sc., MBA.</t>
  </si>
  <si>
    <t>HMW</t>
  </si>
  <si>
    <t>Putri Rizqiyah, S.Kom., M.Kom.</t>
  </si>
  <si>
    <t>PRQ</t>
  </si>
  <si>
    <t>Muhammad Ardiansyah, S.Kom., M.M.</t>
  </si>
  <si>
    <t>DIS</t>
  </si>
  <si>
    <t>I Putu Eka Juliantara, S.T., M.Eng.</t>
  </si>
  <si>
    <t>IPJ</t>
  </si>
  <si>
    <t>Putri Utami Rukmana, S.Kom., M.Kom.</t>
  </si>
  <si>
    <t>0853-1529-1486</t>
  </si>
  <si>
    <t>Tiara Rahmania Hadiningrum, S.Kom., M.Kom.</t>
  </si>
  <si>
    <t>0813-3249-6225</t>
  </si>
  <si>
    <t>0812-4702-9327</t>
  </si>
  <si>
    <t>0857-3318-0793</t>
  </si>
  <si>
    <t>0857-3366-9630</t>
  </si>
  <si>
    <t>0821-2721-1001</t>
  </si>
  <si>
    <t>0853-9974-3103</t>
  </si>
  <si>
    <t>0856-6495-2362</t>
  </si>
  <si>
    <t>0852-7477-9909</t>
  </si>
  <si>
    <t>0813-6621-6300</t>
  </si>
  <si>
    <t>0877-7914-1618</t>
  </si>
  <si>
    <t>0812-7341-1244</t>
  </si>
  <si>
    <t>0821-2135-4853</t>
  </si>
  <si>
    <t>0822-1973-8515</t>
  </si>
  <si>
    <t>0852-1069-9259</t>
  </si>
  <si>
    <t>0812-8793-5234</t>
  </si>
  <si>
    <t>0896-7425-5772</t>
  </si>
  <si>
    <t>0819-9087-3660</t>
  </si>
  <si>
    <t>0857-9265-8145</t>
  </si>
  <si>
    <t xml:space="preserve">Pietra Dorand, M.Pd. </t>
  </si>
  <si>
    <t>PIE</t>
  </si>
  <si>
    <t>Alva Nurvina Sularso, S.Sos., M.Hum.</t>
  </si>
  <si>
    <t>VVI</t>
  </si>
  <si>
    <r>
      <t>‪</t>
    </r>
    <r>
      <rPr>
        <i/>
        <sz val="12"/>
        <color theme="1"/>
        <rFont val="Cambria"/>
        <family val="1"/>
      </rPr>
      <t>'0815-1917-4742</t>
    </r>
  </si>
  <si>
    <t>0812-8375-435</t>
  </si>
  <si>
    <t>Muhammad Fakhrul Safitra, S.Kom., M.Kom.</t>
  </si>
  <si>
    <t>MTM</t>
  </si>
  <si>
    <t>Hary Nugroho, S.T., M.T.</t>
  </si>
  <si>
    <t>OHO</t>
  </si>
  <si>
    <t>Monica Khoirunnisa, S.Pd., M.Pd.</t>
  </si>
  <si>
    <t>MCG</t>
  </si>
  <si>
    <t>Sukrina Herman, S.Kom., M.Kom.</t>
  </si>
  <si>
    <t>SHN</t>
  </si>
  <si>
    <t>Ahmad Cecep Damanhuri, M.Pd.</t>
  </si>
  <si>
    <t>CDH</t>
  </si>
  <si>
    <t>Eva Novianti, S.Kom, M.MSI.</t>
  </si>
  <si>
    <t>EON</t>
  </si>
  <si>
    <t>Novyta, S.Si., M.Pd.</t>
  </si>
  <si>
    <t>VYT</t>
  </si>
  <si>
    <t>Masnia, M.Pd.</t>
  </si>
  <si>
    <t>MNN</t>
  </si>
  <si>
    <t>Dr. Bony Parulian Josaphat, S.Si., M.Si.</t>
  </si>
  <si>
    <t>BYN</t>
  </si>
  <si>
    <t>Lukman Medriavin Silalahi, A.Md., S.T., M.T.</t>
  </si>
  <si>
    <t>LUK</t>
  </si>
  <si>
    <t>Lektor 300</t>
  </si>
  <si>
    <t>Lingga Yuliana, S.E., M.M.</t>
  </si>
  <si>
    <t>LYN</t>
  </si>
  <si>
    <t>0852-6524-2710</t>
  </si>
  <si>
    <t>0813-1058-6638</t>
  </si>
  <si>
    <t>0812-1060-1375</t>
  </si>
  <si>
    <t>0815-3535-2961</t>
  </si>
  <si>
    <t>0878-8824-6239</t>
  </si>
  <si>
    <t>0821-1370-2592</t>
  </si>
  <si>
    <t>0812-6724-7983</t>
  </si>
  <si>
    <t>0852-1739-7935</t>
  </si>
  <si>
    <t>0812-9360-1787</t>
  </si>
  <si>
    <t>0812-1816-6170</t>
  </si>
  <si>
    <t>0856-9595-1400</t>
  </si>
  <si>
    <t>Syukron Ma’mun, S.Kom., M.T.I.</t>
  </si>
  <si>
    <t>SYU</t>
  </si>
  <si>
    <t>Paxilla Chairany, S. Kom., M.Kom.</t>
  </si>
  <si>
    <t>PCY</t>
  </si>
  <si>
    <t>PDO</t>
  </si>
  <si>
    <t>0857-1620-0627</t>
  </si>
  <si>
    <t>0812-6600-5981</t>
  </si>
  <si>
    <t>0857-1535-8900</t>
  </si>
  <si>
    <t>Dr. Mohammad Siddiq, M.Si., M.Pd.</t>
  </si>
  <si>
    <t>MOQ</t>
  </si>
  <si>
    <t>Prasetyo Dwi Hatmoko, M. Pd.</t>
  </si>
  <si>
    <t>Ninuk Wiliani, S.Si, M.Kom, Ph.D</t>
  </si>
  <si>
    <t>NUN</t>
  </si>
  <si>
    <t>Dr. Andri Ardiansyah, S.Pd.I., M.Pd.</t>
  </si>
  <si>
    <t>AYN</t>
  </si>
  <si>
    <t>Yohanes Pranata Selai, S.Fil., M.Th.</t>
  </si>
  <si>
    <t>YPS</t>
  </si>
  <si>
    <t>Dr. Puji Rahayu, S.Kom., M.Kom.</t>
  </si>
  <si>
    <t>PJI</t>
  </si>
  <si>
    <t>Lektor Kepala</t>
  </si>
  <si>
    <t>0821-2239-4228</t>
  </si>
  <si>
    <t>0852-1811-1574</t>
  </si>
  <si>
    <t>0822-4372-3327</t>
  </si>
  <si>
    <t>0813-5331-5801</t>
  </si>
  <si>
    <t>0812-1949-6800</t>
  </si>
  <si>
    <t>S3</t>
  </si>
  <si>
    <t>TRM</t>
  </si>
  <si>
    <t>PTM</t>
  </si>
  <si>
    <t>dosen tetap prodi TI</t>
  </si>
  <si>
    <t xml:space="preserve">Khalid Akbar, M.H. </t>
  </si>
  <si>
    <t>KIH</t>
  </si>
  <si>
    <t>Iman Karim, S.H., M.H.</t>
  </si>
  <si>
    <t>IIM</t>
  </si>
  <si>
    <t>0813-7328-7353</t>
  </si>
  <si>
    <t>0818-0901-1119</t>
  </si>
  <si>
    <t>CoE Baru</t>
  </si>
  <si>
    <t>Digital Enterprise System And Technology  (DIGEST)</t>
  </si>
  <si>
    <t>Smart Micro Small Medium Enterprise (MSME) &amp; Halal Ecosystem</t>
  </si>
  <si>
    <t>Human Centric Engineering (HUMIC)</t>
  </si>
  <si>
    <t>Artificial Intelligence for Learning and Optimization (AILO)</t>
  </si>
  <si>
    <t>Smart City</t>
  </si>
  <si>
    <t>Kelompok Keahlian Baru</t>
  </si>
  <si>
    <t>Artificial Intelligence for Learning &amp; Optimization</t>
  </si>
  <si>
    <t>Smart Technology and Applied Science (STAS-RG)</t>
  </si>
  <si>
    <t>Enterprise and Industrial Management System</t>
  </si>
  <si>
    <t>Economics of Advanced Digital Technology</t>
  </si>
  <si>
    <t>Strategic IS, Machine Learning</t>
  </si>
  <si>
    <t>Digital Business Ecosystem</t>
  </si>
  <si>
    <t>Digital Enterprise System and Technology</t>
  </si>
  <si>
    <t>Artificial Intelligence and Optimization</t>
  </si>
  <si>
    <t>Digital Enterprise System and Technology (DIGEST)</t>
  </si>
  <si>
    <t>Digital Intelligent Enterprise</t>
  </si>
  <si>
    <t>CoE Digital Intelligent Enterprise (DIE)</t>
  </si>
  <si>
    <t>Bussines Resources, Marketing, And Tourism Strategy</t>
  </si>
  <si>
    <t>Smart Tourism and Hospitality</t>
  </si>
  <si>
    <t>Business resources, Marketing, and Tourism Strategy</t>
  </si>
  <si>
    <t>Digital Media, Culture and Humanities [DICTUM]</t>
  </si>
  <si>
    <t>S2</t>
  </si>
  <si>
    <t>on progress</t>
  </si>
  <si>
    <t>0812-4747-5927</t>
  </si>
  <si>
    <t>Puspita Parahita Anindita, S.Kom., BInfTech, MSc</t>
  </si>
  <si>
    <t>0853-8502-2755</t>
  </si>
  <si>
    <t>Dr. Nur Hadian, S.Kom., M.Kom.</t>
  </si>
  <si>
    <t>MK KWN (Case)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</si>
</sst>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i/>
      <sz val="12"/>
      <color theme="1"/>
      <name val="Cambria"/>
      <family val="1"/>
    </font>
    <font>
      <sz val="11"/>
      <color theme="1"/>
      <name val="Cambria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0" borderId="1" xfId="0" applyFont="1" applyBorder="1"/>
    <xf numFmtId="0" fontId="2" fillId="0" borderId="1" xfId="0" quotePrefix="1" applyFont="1" applyBorder="1"/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0" borderId="4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5" fillId="0" borderId="5" xfId="0" applyFont="1" applyBorder="1"/>
    <xf numFmtId="0" fontId="2" fillId="0" borderId="2" xfId="0" quotePrefix="1" applyFont="1" applyBorder="1" applyAlignment="1">
      <alignment vertic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ysClr val="windowText" lastClr="000000"/>
                </a:solidFill>
              </a:rPr>
              <a:t>Persentase JAD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92-404C-9DC4-F3AB406B09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92-404C-9DC4-F3AB406B09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92-404C-9DC4-F3AB406B09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'Persentase Dosen'!$G$6:$G$8</c:f>
              <c:strCache>
                <c:ptCount val="3"/>
                <c:pt idx="0">
                  <c:v>NJFA</c:v>
                </c:pt>
                <c:pt idx="1">
                  <c:v>Asisten Ahli</c:v>
                </c:pt>
                <c:pt idx="2">
                  <c:v>Lektor</c:v>
                </c:pt>
              </c:strCache>
            </c:strRef>
          </c:cat>
          <c:val>
            <c:numRef>
              <c:f>'Persentase Dosen'!$I$6:$I$8</c:f>
              <c:numCache>
                <c:formatCode>0%</c:formatCode>
                <c:ptCount val="3"/>
                <c:pt idx="0">
                  <c:v>0.45</c:v>
                </c:pt>
                <c:pt idx="1">
                  <c:v>0.4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3-47EE-A905-B6B7F9689C7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ysClr val="windowText" lastClr="000000"/>
                </a:solidFill>
              </a:rPr>
              <a:t>Persentase Pendidikan Terakhir Dosen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317500" algn="ctr" rotWithShape="0">
                <a:prstClr val="black">
                  <a:alpha val="25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'Persentase Dosen'!$G$10:$G$11</c:f>
              <c:strCache>
                <c:ptCount val="2"/>
                <c:pt idx="0">
                  <c:v>S2</c:v>
                </c:pt>
                <c:pt idx="1">
                  <c:v>S3</c:v>
                </c:pt>
              </c:strCache>
            </c:strRef>
          </c:cat>
          <c:val>
            <c:numRef>
              <c:f>'Persentase Dosen'!$I$10:$I$11</c:f>
              <c:numCache>
                <c:formatCode>0%</c:formatCode>
                <c:ptCount val="2"/>
                <c:pt idx="0">
                  <c:v>0.95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9-4B9C-934F-61BCE74F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9152368"/>
        <c:axId val="1399146960"/>
      </c:barChart>
      <c:catAx>
        <c:axId val="139915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46960"/>
        <c:crosses val="autoZero"/>
        <c:auto val="1"/>
        <c:lblAlgn val="ctr"/>
        <c:lblOffset val="100"/>
        <c:noMultiLvlLbl val="0"/>
      </c:catAx>
      <c:valAx>
        <c:axId val="13991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5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2</xdr:row>
      <xdr:rowOff>178593</xdr:rowOff>
    </xdr:from>
    <xdr:to>
      <xdr:col>16</xdr:col>
      <xdr:colOff>571499</xdr:colOff>
      <xdr:row>14</xdr:row>
      <xdr:rowOff>195261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364634-D7F5-48F7-8A57-BBC7FC4D6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363140</xdr:colOff>
      <xdr:row>15</xdr:row>
      <xdr:rowOff>194073</xdr:rowOff>
    </xdr:from>
    <xdr:to>
      <xdr:col>16</xdr:col>
      <xdr:colOff>571499</xdr:colOff>
      <xdr:row>28</xdr:row>
      <xdr:rowOff>83344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D36A2A-8E67-47A2-AF58-295230649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A05D-0F5F-4C9C-BCB7-37C4735AEE11}">
  <dimension ref="A2:H24"/>
  <sheetViews>
    <sheetView zoomScale="80" zoomScaleNormal="80" workbookViewId="0">
      <selection activeCell="C25" sqref="C25"/>
    </sheetView>
  </sheetViews>
  <sheetFormatPr defaultRowHeight="15" x14ac:dyDescent="0.25"/>
  <cols>
    <col min="2" max="2" width="3.85546875" bestFit="1" customWidth="1"/>
    <col min="3" max="3" width="50.7109375" bestFit="1" customWidth="1"/>
    <col min="4" max="4" width="11.5703125" bestFit="1" customWidth="1"/>
    <col min="5" max="5" width="12.85546875" bestFit="1" customWidth="1"/>
    <col min="6" max="6" width="52.28515625" bestFit="1" customWidth="1"/>
    <col min="7" max="7" width="66" bestFit="1" customWidth="1"/>
    <col min="8" max="8" width="18.42578125" bestFit="1" customWidth="1"/>
  </cols>
  <sheetData>
    <row r="2" spans="1:8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148</v>
      </c>
      <c r="G2" s="7" t="s">
        <v>142</v>
      </c>
      <c r="H2" s="7" t="s">
        <v>4</v>
      </c>
    </row>
    <row r="3" spans="1:8" ht="15.75" x14ac:dyDescent="0.25">
      <c r="B3" s="3">
        <v>1</v>
      </c>
      <c r="C3" s="4" t="s">
        <v>5</v>
      </c>
      <c r="D3" s="3" t="s">
        <v>6</v>
      </c>
      <c r="E3" s="3" t="s">
        <v>7</v>
      </c>
      <c r="F3" s="16" t="s">
        <v>143</v>
      </c>
      <c r="G3" s="17" t="s">
        <v>144</v>
      </c>
      <c r="H3" s="5" t="s">
        <v>50</v>
      </c>
    </row>
    <row r="4" spans="1:8" ht="15.75" x14ac:dyDescent="0.25">
      <c r="B4" s="3">
        <v>2</v>
      </c>
      <c r="C4" s="4" t="s">
        <v>8</v>
      </c>
      <c r="D4" s="3" t="s">
        <v>9</v>
      </c>
      <c r="E4" s="3" t="s">
        <v>7</v>
      </c>
      <c r="F4" s="16" t="s">
        <v>143</v>
      </c>
      <c r="G4" s="17" t="s">
        <v>145</v>
      </c>
      <c r="H4" s="5" t="s">
        <v>51</v>
      </c>
    </row>
    <row r="5" spans="1:8" ht="15.75" x14ac:dyDescent="0.25">
      <c r="B5" s="3">
        <v>3</v>
      </c>
      <c r="C5" s="4" t="s">
        <v>10</v>
      </c>
      <c r="D5" s="3" t="s">
        <v>11</v>
      </c>
      <c r="E5" s="3" t="s">
        <v>7</v>
      </c>
      <c r="F5" s="16" t="s">
        <v>143</v>
      </c>
      <c r="G5" s="17" t="s">
        <v>144</v>
      </c>
      <c r="H5" s="5" t="s">
        <v>52</v>
      </c>
    </row>
    <row r="6" spans="1:8" ht="15.75" x14ac:dyDescent="0.25">
      <c r="B6" s="3">
        <v>4</v>
      </c>
      <c r="C6" s="4" t="s">
        <v>12</v>
      </c>
      <c r="D6" s="3" t="s">
        <v>13</v>
      </c>
      <c r="E6" s="3" t="s">
        <v>7</v>
      </c>
      <c r="F6" s="16" t="s">
        <v>143</v>
      </c>
      <c r="G6" s="17" t="s">
        <v>146</v>
      </c>
      <c r="H6" s="5" t="s">
        <v>53</v>
      </c>
    </row>
    <row r="7" spans="1:8" ht="15.75" x14ac:dyDescent="0.25">
      <c r="B7" s="3">
        <v>5</v>
      </c>
      <c r="C7" s="4" t="s">
        <v>14</v>
      </c>
      <c r="D7" s="3" t="s">
        <v>15</v>
      </c>
      <c r="E7" s="3" t="s">
        <v>7</v>
      </c>
      <c r="F7" s="16" t="s">
        <v>143</v>
      </c>
      <c r="G7" s="18" t="s">
        <v>145</v>
      </c>
      <c r="H7" s="5" t="s">
        <v>54</v>
      </c>
    </row>
    <row r="8" spans="1:8" ht="15.75" x14ac:dyDescent="0.25">
      <c r="B8" s="3">
        <v>6</v>
      </c>
      <c r="C8" s="4" t="s">
        <v>16</v>
      </c>
      <c r="D8" s="3" t="s">
        <v>17</v>
      </c>
      <c r="E8" s="3" t="s">
        <v>18</v>
      </c>
      <c r="F8" s="16" t="s">
        <v>143</v>
      </c>
      <c r="G8" s="17" t="s">
        <v>145</v>
      </c>
      <c r="H8" s="5" t="s">
        <v>55</v>
      </c>
    </row>
    <row r="9" spans="1:8" ht="15.75" x14ac:dyDescent="0.25">
      <c r="B9" s="3">
        <v>7</v>
      </c>
      <c r="C9" s="4" t="s">
        <v>19</v>
      </c>
      <c r="D9" s="3" t="s">
        <v>20</v>
      </c>
      <c r="E9" s="3" t="s">
        <v>7</v>
      </c>
      <c r="F9" s="16" t="s">
        <v>143</v>
      </c>
      <c r="G9" s="17" t="s">
        <v>145</v>
      </c>
      <c r="H9" s="5" t="s">
        <v>56</v>
      </c>
    </row>
    <row r="10" spans="1:8" ht="15.75" x14ac:dyDescent="0.25">
      <c r="B10" s="3">
        <v>8</v>
      </c>
      <c r="C10" s="4" t="s">
        <v>21</v>
      </c>
      <c r="D10" s="3" t="s">
        <v>22</v>
      </c>
      <c r="E10" s="3" t="s">
        <v>7</v>
      </c>
      <c r="F10" s="16" t="s">
        <v>143</v>
      </c>
      <c r="G10" s="17" t="s">
        <v>147</v>
      </c>
      <c r="H10" s="5" t="s">
        <v>57</v>
      </c>
    </row>
    <row r="11" spans="1:8" ht="15.75" x14ac:dyDescent="0.25">
      <c r="B11" s="3">
        <v>9</v>
      </c>
      <c r="C11" s="4" t="s">
        <v>23</v>
      </c>
      <c r="D11" s="3" t="s">
        <v>24</v>
      </c>
      <c r="E11" s="3" t="s">
        <v>7</v>
      </c>
      <c r="F11" s="16" t="s">
        <v>143</v>
      </c>
      <c r="G11" s="18" t="s">
        <v>145</v>
      </c>
      <c r="H11" s="5" t="s">
        <v>58</v>
      </c>
    </row>
    <row r="12" spans="1:8" ht="15.75" x14ac:dyDescent="0.25">
      <c r="B12" s="3">
        <v>10</v>
      </c>
      <c r="C12" s="4" t="s">
        <v>25</v>
      </c>
      <c r="D12" s="3" t="s">
        <v>26</v>
      </c>
      <c r="E12" s="3" t="s">
        <v>27</v>
      </c>
      <c r="F12" s="16" t="s">
        <v>143</v>
      </c>
      <c r="G12" s="17" t="s">
        <v>147</v>
      </c>
      <c r="H12" s="5" t="s">
        <v>59</v>
      </c>
    </row>
    <row r="13" spans="1:8" ht="15.75" x14ac:dyDescent="0.25">
      <c r="B13" s="3">
        <v>11</v>
      </c>
      <c r="C13" s="4" t="s">
        <v>28</v>
      </c>
      <c r="D13" s="3" t="s">
        <v>29</v>
      </c>
      <c r="E13" s="3" t="s">
        <v>30</v>
      </c>
      <c r="F13" s="17" t="s">
        <v>143</v>
      </c>
      <c r="G13" s="18" t="s">
        <v>145</v>
      </c>
      <c r="H13" s="5" t="s">
        <v>60</v>
      </c>
    </row>
    <row r="14" spans="1:8" ht="15.75" x14ac:dyDescent="0.25">
      <c r="B14" s="3">
        <v>12</v>
      </c>
      <c r="C14" s="4" t="s">
        <v>31</v>
      </c>
      <c r="D14" s="3" t="s">
        <v>32</v>
      </c>
      <c r="E14" s="3" t="s">
        <v>30</v>
      </c>
      <c r="F14" s="19" t="s">
        <v>143</v>
      </c>
      <c r="G14" s="20" t="s">
        <v>149</v>
      </c>
      <c r="H14" s="5" t="s">
        <v>61</v>
      </c>
    </row>
    <row r="15" spans="1:8" ht="15.75" x14ac:dyDescent="0.25">
      <c r="A15" s="32"/>
      <c r="B15" s="3">
        <v>13</v>
      </c>
      <c r="C15" s="4" t="s">
        <v>33</v>
      </c>
      <c r="D15" s="3" t="s">
        <v>34</v>
      </c>
      <c r="E15" s="3" t="s">
        <v>18</v>
      </c>
      <c r="F15" s="16" t="s">
        <v>143</v>
      </c>
      <c r="G15" s="17" t="s">
        <v>150</v>
      </c>
      <c r="H15" s="5" t="s">
        <v>62</v>
      </c>
    </row>
    <row r="16" spans="1:8" ht="15.75" x14ac:dyDescent="0.25">
      <c r="B16" s="3">
        <v>14</v>
      </c>
      <c r="C16" s="4" t="s">
        <v>35</v>
      </c>
      <c r="D16" s="3" t="s">
        <v>36</v>
      </c>
      <c r="E16" s="3" t="s">
        <v>30</v>
      </c>
      <c r="F16" s="18" t="s">
        <v>143</v>
      </c>
      <c r="G16" s="17" t="s">
        <v>145</v>
      </c>
      <c r="H16" s="6" t="s">
        <v>37</v>
      </c>
    </row>
    <row r="17" spans="2:8" ht="15.75" x14ac:dyDescent="0.25">
      <c r="B17" s="3">
        <v>15</v>
      </c>
      <c r="C17" s="4" t="s">
        <v>38</v>
      </c>
      <c r="D17" s="3" t="s">
        <v>39</v>
      </c>
      <c r="E17" s="3" t="s">
        <v>30</v>
      </c>
      <c r="F17" s="18" t="s">
        <v>153</v>
      </c>
      <c r="G17" s="17" t="s">
        <v>154</v>
      </c>
      <c r="H17" s="5" t="s">
        <v>63</v>
      </c>
    </row>
    <row r="18" spans="2:8" ht="15.75" x14ac:dyDescent="0.25">
      <c r="B18" s="3">
        <v>16</v>
      </c>
      <c r="C18" s="4" t="s">
        <v>40</v>
      </c>
      <c r="D18" s="3" t="s">
        <v>41</v>
      </c>
      <c r="E18" s="3" t="s">
        <v>30</v>
      </c>
      <c r="F18" s="18" t="s">
        <v>155</v>
      </c>
      <c r="G18" s="17" t="s">
        <v>156</v>
      </c>
      <c r="H18" s="5" t="s">
        <v>64</v>
      </c>
    </row>
    <row r="19" spans="2:8" ht="15.75" x14ac:dyDescent="0.25">
      <c r="B19" s="3">
        <v>17</v>
      </c>
      <c r="C19" s="4" t="s">
        <v>42</v>
      </c>
      <c r="D19" s="3" t="s">
        <v>43</v>
      </c>
      <c r="E19" s="3" t="s">
        <v>18</v>
      </c>
      <c r="F19" s="20" t="s">
        <v>151</v>
      </c>
      <c r="G19" s="19" t="s">
        <v>152</v>
      </c>
      <c r="H19" s="5" t="s">
        <v>65</v>
      </c>
    </row>
    <row r="20" spans="2:8" ht="15.75" x14ac:dyDescent="0.25">
      <c r="B20" s="3">
        <v>18</v>
      </c>
      <c r="C20" s="4" t="s">
        <v>44</v>
      </c>
      <c r="D20" s="3" t="s">
        <v>45</v>
      </c>
      <c r="E20" s="3" t="s">
        <v>30</v>
      </c>
      <c r="F20" s="18" t="s">
        <v>143</v>
      </c>
      <c r="G20" s="3"/>
      <c r="H20" s="5" t="s">
        <v>66</v>
      </c>
    </row>
    <row r="21" spans="2:8" ht="15.75" x14ac:dyDescent="0.25">
      <c r="B21" s="3">
        <v>19</v>
      </c>
      <c r="C21" s="4" t="s">
        <v>46</v>
      </c>
      <c r="D21" s="3" t="s">
        <v>134</v>
      </c>
      <c r="E21" s="3" t="s">
        <v>30</v>
      </c>
      <c r="F21" s="21" t="s">
        <v>157</v>
      </c>
      <c r="G21" s="22" t="s">
        <v>158</v>
      </c>
      <c r="H21" s="5" t="s">
        <v>47</v>
      </c>
    </row>
    <row r="22" spans="2:8" ht="15.75" x14ac:dyDescent="0.25">
      <c r="B22" s="33">
        <v>20</v>
      </c>
      <c r="C22" s="34" t="s">
        <v>48</v>
      </c>
      <c r="D22" s="33" t="s">
        <v>133</v>
      </c>
      <c r="E22" s="33" t="s">
        <v>30</v>
      </c>
      <c r="F22" s="35" t="s">
        <v>157</v>
      </c>
      <c r="G22" s="35" t="s">
        <v>159</v>
      </c>
      <c r="H22" s="36" t="s">
        <v>49</v>
      </c>
    </row>
    <row r="23" spans="2:8" ht="15.75" x14ac:dyDescent="0.25">
      <c r="B23" s="3">
        <v>21</v>
      </c>
      <c r="C23" s="4" t="s">
        <v>167</v>
      </c>
      <c r="D23" s="37"/>
      <c r="E23" s="37"/>
      <c r="F23" s="37"/>
      <c r="G23" s="37"/>
      <c r="H23" s="6" t="s">
        <v>166</v>
      </c>
    </row>
    <row r="24" spans="2:8" ht="15.75" x14ac:dyDescent="0.25">
      <c r="B24" s="3">
        <v>22</v>
      </c>
      <c r="C24" s="4" t="s">
        <v>169</v>
      </c>
      <c r="D24" s="37"/>
      <c r="E24" s="37"/>
      <c r="F24" s="37"/>
      <c r="G24" s="37"/>
      <c r="H24" s="6" t="s">
        <v>168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2E90-7E1A-4FE7-8C44-A34131D5D798}">
  <dimension ref="B2:J22"/>
  <sheetViews>
    <sheetView topLeftCell="A2" zoomScale="80" zoomScaleNormal="80" workbookViewId="0">
      <selection activeCell="G15" sqref="G15"/>
    </sheetView>
  </sheetViews>
  <sheetFormatPr defaultRowHeight="15" x14ac:dyDescent="0.25"/>
  <cols>
    <col min="2" max="2" width="3.85546875" bestFit="1" customWidth="1"/>
    <col min="3" max="3" width="49" bestFit="1" customWidth="1"/>
    <col min="4" max="4" width="11.5703125" bestFit="1" customWidth="1"/>
    <col min="5" max="5" width="12.85546875" bestFit="1" customWidth="1"/>
    <col min="7" max="7" width="12.42578125" bestFit="1" customWidth="1"/>
    <col min="8" max="8" width="9.7109375" customWidth="1"/>
  </cols>
  <sheetData>
    <row r="2" spans="2:10" x14ac:dyDescent="0.25">
      <c r="B2" s="7" t="s">
        <v>0</v>
      </c>
      <c r="C2" s="7" t="s">
        <v>1</v>
      </c>
      <c r="D2" s="7" t="s">
        <v>2</v>
      </c>
      <c r="E2" s="7" t="s">
        <v>3</v>
      </c>
    </row>
    <row r="3" spans="2:10" ht="15.75" x14ac:dyDescent="0.25">
      <c r="B3" s="3">
        <v>1</v>
      </c>
      <c r="C3" s="4" t="s">
        <v>5</v>
      </c>
      <c r="D3" s="3" t="s">
        <v>6</v>
      </c>
      <c r="E3" s="3" t="s">
        <v>7</v>
      </c>
    </row>
    <row r="4" spans="2:10" ht="15.75" x14ac:dyDescent="0.25">
      <c r="B4" s="3">
        <v>2</v>
      </c>
      <c r="C4" s="4" t="s">
        <v>8</v>
      </c>
      <c r="D4" s="3" t="s">
        <v>9</v>
      </c>
      <c r="E4" s="3" t="s">
        <v>7</v>
      </c>
    </row>
    <row r="5" spans="2:10" ht="15.75" x14ac:dyDescent="0.25">
      <c r="B5" s="3">
        <v>3</v>
      </c>
      <c r="C5" s="4" t="s">
        <v>10</v>
      </c>
      <c r="D5" s="3" t="s">
        <v>11</v>
      </c>
      <c r="E5" s="3" t="s">
        <v>7</v>
      </c>
    </row>
    <row r="6" spans="2:10" ht="15.75" x14ac:dyDescent="0.25">
      <c r="B6" s="3">
        <v>4</v>
      </c>
      <c r="C6" s="4" t="s">
        <v>12</v>
      </c>
      <c r="D6" s="3" t="s">
        <v>13</v>
      </c>
      <c r="E6" s="3" t="s">
        <v>7</v>
      </c>
      <c r="G6" s="25" t="s">
        <v>30</v>
      </c>
      <c r="H6" s="24">
        <f>COUNTIF(E3:E22, G6)</f>
        <v>9</v>
      </c>
      <c r="I6" s="27">
        <f>H6/20*100%</f>
        <v>0.45</v>
      </c>
    </row>
    <row r="7" spans="2:10" ht="15.75" x14ac:dyDescent="0.25">
      <c r="B7" s="3">
        <v>5</v>
      </c>
      <c r="C7" s="4" t="s">
        <v>14</v>
      </c>
      <c r="D7" s="3" t="s">
        <v>15</v>
      </c>
      <c r="E7" s="3" t="s">
        <v>7</v>
      </c>
      <c r="G7" s="25" t="s">
        <v>7</v>
      </c>
      <c r="H7" s="24">
        <f>COUNTIF(E3:E22, G7)</f>
        <v>8</v>
      </c>
      <c r="I7" s="27">
        <f t="shared" ref="I7:I8" si="0">H7/20*100%</f>
        <v>0.4</v>
      </c>
    </row>
    <row r="8" spans="2:10" ht="15.75" x14ac:dyDescent="0.25">
      <c r="B8" s="3">
        <v>6</v>
      </c>
      <c r="C8" s="4" t="s">
        <v>16</v>
      </c>
      <c r="D8" s="3" t="s">
        <v>17</v>
      </c>
      <c r="E8" s="3" t="s">
        <v>18</v>
      </c>
      <c r="G8" s="25" t="s">
        <v>18</v>
      </c>
      <c r="H8" s="24">
        <f>COUNTIF(E3:E22, G8)</f>
        <v>3</v>
      </c>
      <c r="I8" s="27">
        <f t="shared" si="0"/>
        <v>0.15</v>
      </c>
    </row>
    <row r="9" spans="2:10" ht="15.75" x14ac:dyDescent="0.25">
      <c r="B9" s="3">
        <v>7</v>
      </c>
      <c r="C9" s="4" t="s">
        <v>19</v>
      </c>
      <c r="D9" s="3" t="s">
        <v>20</v>
      </c>
      <c r="E9" s="3" t="s">
        <v>7</v>
      </c>
    </row>
    <row r="10" spans="2:10" ht="15.75" x14ac:dyDescent="0.25">
      <c r="B10" s="3">
        <v>8</v>
      </c>
      <c r="C10" s="4" t="s">
        <v>21</v>
      </c>
      <c r="D10" s="3" t="s">
        <v>22</v>
      </c>
      <c r="E10" s="3" t="s">
        <v>7</v>
      </c>
      <c r="G10" s="25" t="s">
        <v>164</v>
      </c>
      <c r="H10" s="26">
        <v>19</v>
      </c>
      <c r="I10" s="27">
        <f>H10/20*100%</f>
        <v>0.95</v>
      </c>
    </row>
    <row r="11" spans="2:10" ht="15.75" x14ac:dyDescent="0.25">
      <c r="B11" s="3">
        <v>9</v>
      </c>
      <c r="C11" s="4" t="s">
        <v>23</v>
      </c>
      <c r="D11" s="3" t="s">
        <v>24</v>
      </c>
      <c r="E11" s="3" t="s">
        <v>7</v>
      </c>
      <c r="G11" s="25" t="s">
        <v>132</v>
      </c>
      <c r="H11" s="26">
        <v>1</v>
      </c>
      <c r="I11" s="27">
        <f>H11/20*100%</f>
        <v>0.05</v>
      </c>
      <c r="J11" t="s">
        <v>165</v>
      </c>
    </row>
    <row r="12" spans="2:10" ht="15.75" x14ac:dyDescent="0.25">
      <c r="B12" s="3">
        <v>10</v>
      </c>
      <c r="C12" s="4" t="s">
        <v>25</v>
      </c>
      <c r="D12" s="3" t="s">
        <v>26</v>
      </c>
      <c r="E12" s="3" t="s">
        <v>30</v>
      </c>
    </row>
    <row r="13" spans="2:10" ht="15.75" x14ac:dyDescent="0.25">
      <c r="B13" s="3">
        <v>11</v>
      </c>
      <c r="C13" s="4" t="s">
        <v>28</v>
      </c>
      <c r="D13" s="3" t="s">
        <v>29</v>
      </c>
      <c r="E13" s="3" t="s">
        <v>30</v>
      </c>
      <c r="G13" s="28"/>
      <c r="H13" s="29"/>
      <c r="I13" s="30"/>
    </row>
    <row r="14" spans="2:10" ht="15.75" x14ac:dyDescent="0.25">
      <c r="B14" s="3">
        <v>12</v>
      </c>
      <c r="C14" s="4" t="s">
        <v>31</v>
      </c>
      <c r="D14" s="3" t="s">
        <v>32</v>
      </c>
      <c r="E14" s="3" t="s">
        <v>30</v>
      </c>
      <c r="G14" s="28"/>
      <c r="H14" s="29"/>
      <c r="I14" s="30"/>
    </row>
    <row r="15" spans="2:10" ht="15.75" x14ac:dyDescent="0.25">
      <c r="B15" s="12">
        <v>13</v>
      </c>
      <c r="C15" s="13" t="s">
        <v>33</v>
      </c>
      <c r="D15" s="12" t="s">
        <v>34</v>
      </c>
      <c r="E15" s="12" t="s">
        <v>18</v>
      </c>
      <c r="G15" s="28"/>
      <c r="H15" s="29"/>
      <c r="I15" s="30"/>
    </row>
    <row r="16" spans="2:10" ht="15.75" x14ac:dyDescent="0.25">
      <c r="B16" s="3">
        <v>14</v>
      </c>
      <c r="C16" s="4" t="s">
        <v>35</v>
      </c>
      <c r="D16" s="3" t="s">
        <v>36</v>
      </c>
      <c r="E16" s="3" t="s">
        <v>30</v>
      </c>
    </row>
    <row r="17" spans="2:5" ht="15.75" x14ac:dyDescent="0.25">
      <c r="B17" s="3">
        <v>15</v>
      </c>
      <c r="C17" s="4" t="s">
        <v>38</v>
      </c>
      <c r="D17" s="3" t="s">
        <v>39</v>
      </c>
      <c r="E17" s="3" t="s">
        <v>30</v>
      </c>
    </row>
    <row r="18" spans="2:5" ht="15.75" x14ac:dyDescent="0.25">
      <c r="B18" s="3">
        <v>16</v>
      </c>
      <c r="C18" s="4" t="s">
        <v>40</v>
      </c>
      <c r="D18" s="3" t="s">
        <v>41</v>
      </c>
      <c r="E18" s="3" t="s">
        <v>30</v>
      </c>
    </row>
    <row r="19" spans="2:5" ht="15.75" x14ac:dyDescent="0.25">
      <c r="B19" s="3">
        <v>17</v>
      </c>
      <c r="C19" s="4" t="s">
        <v>42</v>
      </c>
      <c r="D19" s="3" t="s">
        <v>43</v>
      </c>
      <c r="E19" s="3" t="s">
        <v>18</v>
      </c>
    </row>
    <row r="20" spans="2:5" ht="15.75" x14ac:dyDescent="0.25">
      <c r="B20" s="3">
        <v>18</v>
      </c>
      <c r="C20" s="4" t="s">
        <v>44</v>
      </c>
      <c r="D20" s="3" t="s">
        <v>45</v>
      </c>
      <c r="E20" s="3" t="s">
        <v>30</v>
      </c>
    </row>
    <row r="21" spans="2:5" ht="15.75" x14ac:dyDescent="0.25">
      <c r="B21" s="3">
        <v>19</v>
      </c>
      <c r="C21" s="4" t="s">
        <v>46</v>
      </c>
      <c r="D21" s="3" t="s">
        <v>134</v>
      </c>
      <c r="E21" s="3" t="s">
        <v>30</v>
      </c>
    </row>
    <row r="22" spans="2:5" ht="15.75" x14ac:dyDescent="0.25">
      <c r="B22" s="3">
        <v>20</v>
      </c>
      <c r="C22" s="4" t="s">
        <v>48</v>
      </c>
      <c r="D22" s="3" t="s">
        <v>133</v>
      </c>
      <c r="E22" s="3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A57A-5287-4CE7-8C16-626D1FAABDBC}">
  <dimension ref="B2:H4"/>
  <sheetViews>
    <sheetView workbookViewId="0">
      <selection activeCell="C4" sqref="C4"/>
    </sheetView>
  </sheetViews>
  <sheetFormatPr defaultRowHeight="15" x14ac:dyDescent="0.25"/>
  <cols>
    <col min="2" max="2" width="3.5703125" bestFit="1" customWidth="1"/>
    <col min="3" max="3" width="37.85546875" bestFit="1" customWidth="1"/>
    <col min="4" max="4" width="11.5703125" bestFit="1" customWidth="1"/>
    <col min="5" max="5" width="12.85546875" bestFit="1" customWidth="1"/>
    <col min="6" max="6" width="49.28515625" bestFit="1" customWidth="1"/>
    <col min="7" max="7" width="28" bestFit="1" customWidth="1"/>
    <col min="8" max="8" width="18.42578125" bestFit="1" customWidth="1"/>
  </cols>
  <sheetData>
    <row r="2" spans="2:8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148</v>
      </c>
      <c r="G2" s="7" t="s">
        <v>142</v>
      </c>
      <c r="H2" s="7" t="s">
        <v>4</v>
      </c>
    </row>
    <row r="3" spans="2:8" ht="15.75" x14ac:dyDescent="0.25">
      <c r="B3" s="1">
        <v>1</v>
      </c>
      <c r="C3" s="8" t="s">
        <v>67</v>
      </c>
      <c r="D3" s="9" t="s">
        <v>68</v>
      </c>
      <c r="E3" s="9" t="s">
        <v>7</v>
      </c>
      <c r="F3" s="16" t="s">
        <v>160</v>
      </c>
      <c r="G3" s="17" t="s">
        <v>161</v>
      </c>
      <c r="H3" s="10" t="s">
        <v>71</v>
      </c>
    </row>
    <row r="4" spans="2:8" ht="15.75" x14ac:dyDescent="0.25">
      <c r="B4" s="1">
        <v>2</v>
      </c>
      <c r="C4" s="2" t="s">
        <v>69</v>
      </c>
      <c r="D4" s="1" t="s">
        <v>70</v>
      </c>
      <c r="E4" s="1" t="s">
        <v>7</v>
      </c>
      <c r="F4" s="16" t="s">
        <v>162</v>
      </c>
      <c r="G4" s="17" t="s">
        <v>163</v>
      </c>
      <c r="H4" s="11" t="s">
        <v>72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C5D7-5366-49A5-85DA-5748ABCE6245}">
  <dimension ref="B2:F13"/>
  <sheetViews>
    <sheetView workbookViewId="0">
      <selection activeCell="F14" sqref="F14"/>
    </sheetView>
  </sheetViews>
  <sheetFormatPr defaultRowHeight="15" x14ac:dyDescent="0.25"/>
  <cols>
    <col min="2" max="2" width="3.5703125" bestFit="1" customWidth="1"/>
    <col min="3" max="3" width="45.28515625" bestFit="1" customWidth="1"/>
    <col min="4" max="4" width="11.5703125" bestFit="1" customWidth="1"/>
    <col min="5" max="5" width="12.85546875" bestFit="1" customWidth="1"/>
    <col min="6" max="6" width="18.42578125" bestFit="1" customWidth="1"/>
  </cols>
  <sheetData>
    <row r="2" spans="2:6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</row>
    <row r="3" spans="2:6" ht="15.75" x14ac:dyDescent="0.25">
      <c r="B3" s="1">
        <v>1</v>
      </c>
      <c r="C3" s="2" t="s">
        <v>73</v>
      </c>
      <c r="D3" s="1" t="s">
        <v>74</v>
      </c>
      <c r="E3" s="1" t="s">
        <v>30</v>
      </c>
      <c r="F3" s="11" t="s">
        <v>96</v>
      </c>
    </row>
    <row r="4" spans="2:6" ht="15.75" x14ac:dyDescent="0.25">
      <c r="B4" s="1">
        <v>2</v>
      </c>
      <c r="C4" s="2" t="s">
        <v>75</v>
      </c>
      <c r="D4" s="1" t="s">
        <v>76</v>
      </c>
      <c r="E4" s="1" t="s">
        <v>30</v>
      </c>
      <c r="F4" s="11" t="s">
        <v>97</v>
      </c>
    </row>
    <row r="5" spans="2:6" ht="15.75" x14ac:dyDescent="0.25">
      <c r="B5" s="1">
        <v>3</v>
      </c>
      <c r="C5" s="2" t="s">
        <v>77</v>
      </c>
      <c r="D5" s="1" t="s">
        <v>78</v>
      </c>
      <c r="E5" s="1" t="s">
        <v>30</v>
      </c>
      <c r="F5" s="11" t="s">
        <v>98</v>
      </c>
    </row>
    <row r="6" spans="2:6" ht="15.75" x14ac:dyDescent="0.25">
      <c r="B6" s="1">
        <v>4</v>
      </c>
      <c r="C6" s="2" t="s">
        <v>79</v>
      </c>
      <c r="D6" s="1" t="s">
        <v>80</v>
      </c>
      <c r="E6" s="1" t="s">
        <v>30</v>
      </c>
      <c r="F6" s="11" t="s">
        <v>99</v>
      </c>
    </row>
    <row r="7" spans="2:6" ht="15.75" x14ac:dyDescent="0.25">
      <c r="B7" s="1">
        <v>5</v>
      </c>
      <c r="C7" s="2" t="s">
        <v>81</v>
      </c>
      <c r="D7" s="1" t="s">
        <v>82</v>
      </c>
      <c r="E7" s="1" t="s">
        <v>30</v>
      </c>
      <c r="F7" s="11" t="s">
        <v>100</v>
      </c>
    </row>
    <row r="8" spans="2:6" ht="15.75" x14ac:dyDescent="0.25">
      <c r="B8" s="1">
        <v>6</v>
      </c>
      <c r="C8" s="2" t="s">
        <v>83</v>
      </c>
      <c r="D8" s="1" t="s">
        <v>84</v>
      </c>
      <c r="E8" s="1" t="s">
        <v>7</v>
      </c>
      <c r="F8" s="11" t="s">
        <v>101</v>
      </c>
    </row>
    <row r="9" spans="2:6" ht="15.75" x14ac:dyDescent="0.25">
      <c r="B9" s="1">
        <v>7</v>
      </c>
      <c r="C9" s="2" t="s">
        <v>85</v>
      </c>
      <c r="D9" s="1" t="s">
        <v>86</v>
      </c>
      <c r="E9" s="1" t="s">
        <v>7</v>
      </c>
      <c r="F9" s="11" t="s">
        <v>102</v>
      </c>
    </row>
    <row r="10" spans="2:6" ht="15.75" x14ac:dyDescent="0.25">
      <c r="B10" s="1">
        <v>8</v>
      </c>
      <c r="C10" s="2" t="s">
        <v>87</v>
      </c>
      <c r="D10" s="1" t="s">
        <v>88</v>
      </c>
      <c r="E10" s="1" t="s">
        <v>18</v>
      </c>
      <c r="F10" s="11" t="s">
        <v>103</v>
      </c>
    </row>
    <row r="11" spans="2:6" ht="15.75" x14ac:dyDescent="0.25">
      <c r="B11" s="1">
        <v>9</v>
      </c>
      <c r="C11" s="2" t="s">
        <v>89</v>
      </c>
      <c r="D11" s="1" t="s">
        <v>90</v>
      </c>
      <c r="E11" s="1" t="s">
        <v>18</v>
      </c>
      <c r="F11" s="11" t="s">
        <v>104</v>
      </c>
    </row>
    <row r="12" spans="2:6" ht="15.75" x14ac:dyDescent="0.25">
      <c r="B12" s="1">
        <v>10</v>
      </c>
      <c r="C12" s="2" t="s">
        <v>91</v>
      </c>
      <c r="D12" s="1" t="s">
        <v>92</v>
      </c>
      <c r="E12" s="1" t="s">
        <v>93</v>
      </c>
      <c r="F12" s="11" t="s">
        <v>105</v>
      </c>
    </row>
    <row r="13" spans="2:6" ht="15.75" x14ac:dyDescent="0.25">
      <c r="B13" s="1">
        <v>11</v>
      </c>
      <c r="C13" s="2" t="s">
        <v>94</v>
      </c>
      <c r="D13" s="1" t="s">
        <v>95</v>
      </c>
      <c r="E13" s="1" t="s">
        <v>93</v>
      </c>
      <c r="F13" s="11" t="s">
        <v>106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DB88-E931-46E2-A31C-BDA89D768720}">
  <dimension ref="B2:F9"/>
  <sheetViews>
    <sheetView workbookViewId="0">
      <selection activeCell="C11" sqref="C11"/>
    </sheetView>
  </sheetViews>
  <sheetFormatPr defaultRowHeight="15" x14ac:dyDescent="0.25"/>
  <cols>
    <col min="2" max="2" width="3.5703125" bestFit="1" customWidth="1"/>
    <col min="3" max="3" width="49" bestFit="1" customWidth="1"/>
    <col min="4" max="4" width="11.5703125" bestFit="1" customWidth="1"/>
    <col min="5" max="5" width="12.85546875" bestFit="1" customWidth="1"/>
    <col min="6" max="6" width="18.42578125" bestFit="1" customWidth="1"/>
  </cols>
  <sheetData>
    <row r="2" spans="2:6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</row>
    <row r="3" spans="2:6" ht="15.75" x14ac:dyDescent="0.25">
      <c r="B3" s="1">
        <v>1</v>
      </c>
      <c r="C3" s="2" t="s">
        <v>73</v>
      </c>
      <c r="D3" s="1" t="s">
        <v>74</v>
      </c>
      <c r="E3" s="1" t="s">
        <v>30</v>
      </c>
      <c r="F3" s="11" t="s">
        <v>96</v>
      </c>
    </row>
    <row r="4" spans="2:6" ht="15.75" x14ac:dyDescent="0.25">
      <c r="B4" s="1">
        <v>2</v>
      </c>
      <c r="C4" s="2" t="s">
        <v>79</v>
      </c>
      <c r="D4" s="1" t="s">
        <v>80</v>
      </c>
      <c r="E4" s="1" t="s">
        <v>30</v>
      </c>
      <c r="F4" s="11" t="s">
        <v>99</v>
      </c>
    </row>
    <row r="5" spans="2:6" ht="15.75" x14ac:dyDescent="0.25">
      <c r="B5" s="1">
        <v>3</v>
      </c>
      <c r="C5" s="2" t="s">
        <v>85</v>
      </c>
      <c r="D5" s="1" t="s">
        <v>86</v>
      </c>
      <c r="E5" s="1" t="s">
        <v>7</v>
      </c>
      <c r="F5" s="11" t="s">
        <v>102</v>
      </c>
    </row>
    <row r="6" spans="2:6" ht="15.75" x14ac:dyDescent="0.25">
      <c r="B6" s="1">
        <v>4</v>
      </c>
      <c r="C6" s="2" t="s">
        <v>94</v>
      </c>
      <c r="D6" s="1" t="s">
        <v>95</v>
      </c>
      <c r="E6" s="1" t="s">
        <v>93</v>
      </c>
      <c r="F6" s="11" t="s">
        <v>106</v>
      </c>
    </row>
    <row r="7" spans="2:6" ht="15.75" x14ac:dyDescent="0.25">
      <c r="B7" s="1">
        <v>5</v>
      </c>
      <c r="C7" s="2" t="s">
        <v>107</v>
      </c>
      <c r="D7" s="1" t="s">
        <v>108</v>
      </c>
      <c r="E7" s="1"/>
      <c r="F7" s="11" t="s">
        <v>112</v>
      </c>
    </row>
    <row r="8" spans="2:6" ht="15.75" x14ac:dyDescent="0.25">
      <c r="B8" s="1">
        <v>6</v>
      </c>
      <c r="C8" s="2" t="s">
        <v>109</v>
      </c>
      <c r="D8" s="1" t="s">
        <v>110</v>
      </c>
      <c r="E8" s="1"/>
      <c r="F8" s="11" t="s">
        <v>113</v>
      </c>
    </row>
    <row r="9" spans="2:6" ht="15.75" x14ac:dyDescent="0.25">
      <c r="B9" s="1">
        <v>7</v>
      </c>
      <c r="C9" s="2" t="s">
        <v>117</v>
      </c>
      <c r="D9" s="1" t="s">
        <v>111</v>
      </c>
      <c r="E9" s="1"/>
      <c r="F9" s="11" t="s">
        <v>114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CD8E-381F-4D6B-A98C-588038F3DD99}">
  <dimension ref="B2:G15"/>
  <sheetViews>
    <sheetView tabSelected="1" workbookViewId="0">
      <selection activeCell="G10" sqref="G10"/>
    </sheetView>
  </sheetViews>
  <sheetFormatPr defaultRowHeight="15" x14ac:dyDescent="0.25"/>
  <cols>
    <col min="2" max="2" width="3.85546875" bestFit="1" customWidth="1"/>
    <col min="3" max="3" width="45.28515625" bestFit="1" customWidth="1"/>
    <col min="4" max="4" width="11.5703125" bestFit="1" customWidth="1"/>
    <col min="5" max="5" width="15.28515625" bestFit="1" customWidth="1"/>
    <col min="6" max="6" width="18.42578125" bestFit="1" customWidth="1"/>
    <col min="7" max="7" width="15.85546875" customWidth="1"/>
  </cols>
  <sheetData>
    <row r="2" spans="2:7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</row>
    <row r="3" spans="2:7" ht="15.75" x14ac:dyDescent="0.25">
      <c r="B3" s="1">
        <v>1</v>
      </c>
      <c r="C3" s="2" t="s">
        <v>73</v>
      </c>
      <c r="D3" s="1" t="s">
        <v>74</v>
      </c>
      <c r="E3" s="1" t="s">
        <v>30</v>
      </c>
      <c r="F3" s="11" t="s">
        <v>96</v>
      </c>
    </row>
    <row r="4" spans="2:7" ht="15.75" x14ac:dyDescent="0.25">
      <c r="B4" s="1">
        <v>2</v>
      </c>
      <c r="C4" s="2" t="s">
        <v>85</v>
      </c>
      <c r="D4" s="1" t="s">
        <v>86</v>
      </c>
      <c r="E4" s="1" t="s">
        <v>7</v>
      </c>
      <c r="F4" s="11" t="s">
        <v>102</v>
      </c>
    </row>
    <row r="5" spans="2:7" ht="15.75" x14ac:dyDescent="0.25">
      <c r="B5" s="1">
        <v>3</v>
      </c>
      <c r="C5" s="2" t="s">
        <v>75</v>
      </c>
      <c r="D5" s="1" t="s">
        <v>76</v>
      </c>
      <c r="E5" s="1" t="s">
        <v>30</v>
      </c>
      <c r="F5" s="11" t="s">
        <v>97</v>
      </c>
    </row>
    <row r="6" spans="2:7" ht="15.75" x14ac:dyDescent="0.25">
      <c r="B6" s="1">
        <v>4</v>
      </c>
      <c r="C6" s="2" t="s">
        <v>107</v>
      </c>
      <c r="D6" s="1" t="s">
        <v>108</v>
      </c>
      <c r="E6" s="1"/>
      <c r="F6" s="11" t="s">
        <v>112</v>
      </c>
    </row>
    <row r="7" spans="2:7" ht="15.75" x14ac:dyDescent="0.25">
      <c r="B7" s="1">
        <v>5</v>
      </c>
      <c r="C7" s="2" t="s">
        <v>87</v>
      </c>
      <c r="D7" s="1" t="s">
        <v>88</v>
      </c>
      <c r="E7" s="1" t="s">
        <v>18</v>
      </c>
      <c r="F7" s="11" t="s">
        <v>103</v>
      </c>
    </row>
    <row r="8" spans="2:7" ht="15.75" x14ac:dyDescent="0.25">
      <c r="B8" s="1">
        <v>6</v>
      </c>
      <c r="C8" s="2" t="s">
        <v>115</v>
      </c>
      <c r="D8" s="1" t="s">
        <v>116</v>
      </c>
      <c r="E8" s="1"/>
      <c r="F8" s="11" t="s">
        <v>127</v>
      </c>
    </row>
    <row r="9" spans="2:7" ht="15.75" x14ac:dyDescent="0.25">
      <c r="B9" s="1">
        <v>7</v>
      </c>
      <c r="C9" s="2" t="s">
        <v>117</v>
      </c>
      <c r="D9" s="1" t="s">
        <v>111</v>
      </c>
      <c r="E9" s="1"/>
      <c r="F9" s="11" t="s">
        <v>114</v>
      </c>
      <c r="G9" s="31" t="s">
        <v>170</v>
      </c>
    </row>
    <row r="10" spans="2:7" ht="15.75" x14ac:dyDescent="0.25">
      <c r="B10" s="1">
        <v>8</v>
      </c>
      <c r="C10" s="2" t="s">
        <v>79</v>
      </c>
      <c r="D10" s="1" t="s">
        <v>80</v>
      </c>
      <c r="E10" s="1" t="s">
        <v>30</v>
      </c>
      <c r="F10" s="11" t="s">
        <v>99</v>
      </c>
    </row>
    <row r="11" spans="2:7" ht="15.75" x14ac:dyDescent="0.25">
      <c r="B11" s="1">
        <v>9</v>
      </c>
      <c r="C11" s="2" t="s">
        <v>118</v>
      </c>
      <c r="D11" s="1" t="s">
        <v>119</v>
      </c>
      <c r="E11" s="1" t="s">
        <v>18</v>
      </c>
      <c r="F11" s="11" t="s">
        <v>128</v>
      </c>
    </row>
    <row r="12" spans="2:7" ht="15.75" x14ac:dyDescent="0.25">
      <c r="B12" s="1">
        <v>10</v>
      </c>
      <c r="C12" s="2" t="s">
        <v>120</v>
      </c>
      <c r="D12" s="1" t="s">
        <v>121</v>
      </c>
      <c r="E12" s="1"/>
      <c r="F12" s="11" t="s">
        <v>129</v>
      </c>
    </row>
    <row r="13" spans="2:7" ht="15.75" x14ac:dyDescent="0.25">
      <c r="B13" s="1">
        <v>11</v>
      </c>
      <c r="C13" s="2" t="s">
        <v>122</v>
      </c>
      <c r="D13" s="1" t="s">
        <v>123</v>
      </c>
      <c r="E13" s="1"/>
      <c r="F13" s="11" t="s">
        <v>130</v>
      </c>
    </row>
    <row r="14" spans="2:7" ht="15.75" x14ac:dyDescent="0.25">
      <c r="B14" s="1">
        <v>12</v>
      </c>
      <c r="C14" s="2" t="s">
        <v>124</v>
      </c>
      <c r="D14" s="1" t="s">
        <v>125</v>
      </c>
      <c r="E14" s="3" t="s">
        <v>126</v>
      </c>
      <c r="F14" s="11" t="s">
        <v>131</v>
      </c>
    </row>
    <row r="15" spans="2:7" ht="15.75" x14ac:dyDescent="0.25">
      <c r="B15" s="1">
        <v>13</v>
      </c>
      <c r="C15" s="14" t="s">
        <v>69</v>
      </c>
      <c r="D15" s="1" t="s">
        <v>70</v>
      </c>
      <c r="E15" s="1" t="s">
        <v>7</v>
      </c>
      <c r="F15" s="6" t="s">
        <v>72</v>
      </c>
      <c r="G15" t="s">
        <v>135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45AE-B909-412A-ACF9-46254F1A2935}">
  <dimension ref="B2:F9"/>
  <sheetViews>
    <sheetView zoomScale="90" zoomScaleNormal="90" workbookViewId="0">
      <selection activeCell="C11" sqref="C11"/>
    </sheetView>
  </sheetViews>
  <sheetFormatPr defaultRowHeight="15" x14ac:dyDescent="0.25"/>
  <cols>
    <col min="2" max="2" width="3.85546875" bestFit="1" customWidth="1"/>
    <col min="3" max="3" width="35.85546875" bestFit="1" customWidth="1"/>
    <col min="4" max="4" width="11.5703125" bestFit="1" customWidth="1"/>
    <col min="5" max="5" width="15.28515625" bestFit="1" customWidth="1"/>
    <col min="6" max="6" width="18.42578125" bestFit="1" customWidth="1"/>
  </cols>
  <sheetData>
    <row r="2" spans="2:6" x14ac:dyDescent="0.25"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</row>
    <row r="3" spans="2:6" ht="15.75" x14ac:dyDescent="0.25">
      <c r="B3" s="1">
        <v>1</v>
      </c>
      <c r="C3" s="2" t="s">
        <v>85</v>
      </c>
      <c r="D3" s="1" t="s">
        <v>86</v>
      </c>
      <c r="E3" s="1" t="s">
        <v>7</v>
      </c>
      <c r="F3" s="11" t="s">
        <v>102</v>
      </c>
    </row>
    <row r="4" spans="2:6" ht="15.75" x14ac:dyDescent="0.25">
      <c r="B4" s="1">
        <v>2</v>
      </c>
      <c r="C4" s="2" t="s">
        <v>115</v>
      </c>
      <c r="D4" s="1" t="s">
        <v>116</v>
      </c>
      <c r="E4" s="1"/>
      <c r="F4" s="11" t="s">
        <v>127</v>
      </c>
    </row>
    <row r="5" spans="2:6" ht="15.75" x14ac:dyDescent="0.25">
      <c r="B5" s="1">
        <v>3</v>
      </c>
      <c r="C5" s="2" t="s">
        <v>117</v>
      </c>
      <c r="D5" s="1" t="s">
        <v>111</v>
      </c>
      <c r="E5" s="1"/>
      <c r="F5" s="11" t="s">
        <v>114</v>
      </c>
    </row>
    <row r="6" spans="2:6" ht="15.75" x14ac:dyDescent="0.25">
      <c r="B6" s="1">
        <v>4</v>
      </c>
      <c r="C6" s="2" t="s">
        <v>124</v>
      </c>
      <c r="D6" s="1" t="s">
        <v>125</v>
      </c>
      <c r="E6" s="3" t="s">
        <v>126</v>
      </c>
      <c r="F6" s="11" t="s">
        <v>131</v>
      </c>
    </row>
    <row r="7" spans="2:6" ht="15.75" x14ac:dyDescent="0.25">
      <c r="B7" s="1">
        <v>5</v>
      </c>
      <c r="C7" s="2" t="s">
        <v>94</v>
      </c>
      <c r="D7" s="1" t="s">
        <v>95</v>
      </c>
      <c r="E7" s="1" t="s">
        <v>93</v>
      </c>
      <c r="F7" s="11" t="s">
        <v>106</v>
      </c>
    </row>
    <row r="8" spans="2:6" ht="15.75" x14ac:dyDescent="0.25">
      <c r="B8" s="1">
        <v>6</v>
      </c>
      <c r="C8" s="2" t="s">
        <v>136</v>
      </c>
      <c r="D8" s="1" t="s">
        <v>137</v>
      </c>
      <c r="E8" s="14"/>
      <c r="F8" s="15" t="s">
        <v>141</v>
      </c>
    </row>
    <row r="9" spans="2:6" ht="15.75" x14ac:dyDescent="0.25">
      <c r="B9" s="1">
        <v>7</v>
      </c>
      <c r="C9" s="2" t="s">
        <v>138</v>
      </c>
      <c r="D9" s="1" t="s">
        <v>139</v>
      </c>
      <c r="E9" s="14"/>
      <c r="F9" s="15" t="s">
        <v>140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Dosen Prodi S1 SI TUKJ</vt:lpstr>
      <vt:lpstr>Persentase Dosen</vt:lpstr>
      <vt:lpstr>Dosen Pegawai Tetap</vt:lpstr>
      <vt:lpstr>Dosen LB_Ganjil 2425</vt:lpstr>
      <vt:lpstr>Dosen LB_Genap 2425</vt:lpstr>
      <vt:lpstr>Dosen LB_Ganjil 2526</vt:lpstr>
      <vt:lpstr>Dosen LB_Genap 2526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Amalia</dc:creator>
  <cp:lastModifiedBy>Nurul Amalia</cp:lastModifiedBy>
  <dcterms:created xsi:type="dcterms:W3CDTF">2026-01-09T13:19:15Z</dcterms:created>
  <dcterms:modified xsi:type="dcterms:W3CDTF">2026-07-13T07:39:53Z</dcterms:modified>
</cp:coreProperties>
</file>